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15eb02ce3cbac9/Desktop/Projeto Pessoal/TI/"/>
    </mc:Choice>
  </mc:AlternateContent>
  <xr:revisionPtr revIDLastSave="5" documentId="8_{D8170727-FCFE-4E68-87F6-E1B0A1388886}" xr6:coauthVersionLast="47" xr6:coauthVersionMax="47" xr10:uidLastSave="{69133C49-CD0B-4AF0-9EE6-B5596600C19C}"/>
  <bookViews>
    <workbookView minimized="1" xWindow="0" yWindow="1368" windowWidth="17280" windowHeight="8880" xr2:uid="{B3905394-6DEC-4D7F-9FCA-95C3FCBD5513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<sst xmlns="http://schemas.openxmlformats.org/spreadsheetml/2006/main" count="261" uniqueCount="105">
  <si>
    <t>REQUISITO</t>
  </si>
  <si>
    <t>DESCRIÇÃO</t>
  </si>
  <si>
    <t>CLASSIFICAÇÃO</t>
  </si>
  <si>
    <t>TAMANHO</t>
  </si>
  <si>
    <t>TAM(#)</t>
  </si>
  <si>
    <t>PRIORIDADE</t>
  </si>
  <si>
    <t>SPRINT</t>
  </si>
  <si>
    <t>ESTADO</t>
  </si>
  <si>
    <t xml:space="preserve">Tela Inicial </t>
  </si>
  <si>
    <t>Tela inicial com as informações da empresa e usuário</t>
  </si>
  <si>
    <t>Importante</t>
  </si>
  <si>
    <t>M</t>
  </si>
  <si>
    <t>SPRINT1</t>
  </si>
  <si>
    <t>Cadastro Usuário</t>
  </si>
  <si>
    <t>Cadastro do Usuario com Nome,Sobrenome,Email, Data de nascimento,Telefone Celular,Empresa,Senha e Confimaçao de Senha na tela de cadastro</t>
  </si>
  <si>
    <t>Essencial</t>
  </si>
  <si>
    <t>Login</t>
  </si>
  <si>
    <t>Tela para login atraves do email e senha</t>
  </si>
  <si>
    <t>Recuperaçâo de Senha</t>
  </si>
  <si>
    <t>Recuperaçao de Senha sempre vai aparecer para o usuario, caso o usuario precise usar a açao de recuperar a senha,
 ira solicitar o email para quals deseja recuperar, juntantemente com o telefone celular. Após encontrar o email desejado, será enviado a senha cadastrada</t>
  </si>
  <si>
    <t>Página de contato</t>
  </si>
  <si>
    <t xml:space="preserve">Formularário de contato com: nome, sobrenome, email, telCelular, empresa, cnpj, cargo, comentario;
 telefone, email e endereço da empresa </t>
  </si>
  <si>
    <t xml:space="preserve"> NavBAR</t>
  </si>
  <si>
    <t xml:space="preserve">                                  Barra de navegação para acessar outras abas do website</t>
  </si>
  <si>
    <t>P</t>
  </si>
  <si>
    <t xml:space="preserve">Sobre nós </t>
  </si>
  <si>
    <t>Informações da equipe</t>
  </si>
  <si>
    <t>G</t>
  </si>
  <si>
    <t xml:space="preserve">Responsividade para telas de celulares, computadores e tablets                  </t>
  </si>
  <si>
    <t>Ajustar automaticamente o layout e os elementos da página para que fiquem bem apresentados e funcionais em diferentes tamanhos de tela e dispositivos,</t>
  </si>
  <si>
    <t>Garantir a segurança e amarzenar os dados dos clientes</t>
  </si>
  <si>
    <t xml:space="preserve">Documentação do Projeto </t>
  </si>
  <si>
    <t>Documentar todo processo da criação do projeto</t>
  </si>
  <si>
    <t xml:space="preserve">Diagrama de negócios </t>
  </si>
  <si>
    <t>Diagrama de negócios te ajuda a entender como vai ser o funcionamento do projeto</t>
  </si>
  <si>
    <t>Máquina Virtual</t>
  </si>
  <si>
    <t>Possibilitar o acesso ao site com diversos sistemas operacionais</t>
  </si>
  <si>
    <t>Manter Trello organizado e atualizado</t>
  </si>
  <si>
    <t>Manter e atualizar o trello</t>
  </si>
  <si>
    <t>PP</t>
  </si>
  <si>
    <t>SPRINT2</t>
  </si>
  <si>
    <t>Planilha de Riscos do Projeto</t>
  </si>
  <si>
    <t>Criar uma planilha avaliando os riscos que podem ocorrer durante o rojeto, tentando mitigar ou evitar esses Riscos</t>
  </si>
  <si>
    <t>Especificação da Dashboard</t>
  </si>
  <si>
    <t>Definir os objetivos e públicos para saber que dados a dashboard precisa passar</t>
  </si>
  <si>
    <t>Projeto atualizado no GitHub</t>
  </si>
  <si>
    <t>Manter o GitHub atualizado referente a qualquer mudança do projeto</t>
  </si>
  <si>
    <t>Documentação do Projeto atualizada</t>
  </si>
  <si>
    <t>Manter a documentação do projeto atualizada referente a qualquer mudança do projeto</t>
  </si>
  <si>
    <t>Site Institucional: Estático</t>
  </si>
  <si>
    <t>Criar modelo da home page do site institucional com JS/Css mas sem a necessidade de conexão e armazenamento de informações no banco de dados.</t>
  </si>
  <si>
    <t>Dashboard: Estática</t>
  </si>
  <si>
    <t>Criar modelo de Dashboard para o site institucional com JS/Css mas sem a necessidade de conexão direta com os dados recebidos pelo sensor LM-35</t>
  </si>
  <si>
    <t>Tela de Cadastro/Login: Estática</t>
  </si>
  <si>
    <t>Criar modelo em JS/Css da tela de Cadastro e Login, com validações mas sem necessidade de comunicação com o banco de dados</t>
  </si>
  <si>
    <t>Diagrama de Solução</t>
  </si>
  <si>
    <t>Criar um diagrama de solução ultilizando simbolos e linhas para mostrar a estrutura,funcionamento e as relações entre componentes e o fluxo de dados ou processos</t>
  </si>
  <si>
    <t>Backlog da Sprint</t>
  </si>
  <si>
    <t>Criar e separar os requisitos e trello dessa 2º Sprint</t>
  </si>
  <si>
    <t>Modelagem Lógica do Projeto: v1</t>
  </si>
  <si>
    <t>Criar o diagrama de Banco de dados, detalhando as conexões, chaves primarias e estrangeiras</t>
  </si>
  <si>
    <t>Tabelas em um Banco de Dados local</t>
  </si>
  <si>
    <t>Conectar o Banco de dados do projeto dentro da VM</t>
  </si>
  <si>
    <t>Instalar Mysql no server de dados da VM</t>
  </si>
  <si>
    <t>Utilizar a Virtual Machine para acessar o banco de dados do projeto</t>
  </si>
  <si>
    <t>Validar a solução técnica+Diagrama da solução(validado)</t>
  </si>
  <si>
    <t>Validar o diagrama de soluções</t>
  </si>
  <si>
    <t>Protótipo Dashboard</t>
  </si>
  <si>
    <t xml:space="preserve">Pré modelo da dashboard que será feita na versão final do site </t>
  </si>
  <si>
    <t>Adicionar como as colmeias funcionam a documentação</t>
  </si>
  <si>
    <t>Adicionar a documentação as caracteristicas das colmeias langstroth</t>
  </si>
  <si>
    <t>Desejavel</t>
  </si>
  <si>
    <t>Reformular script do banco de dados</t>
  </si>
  <si>
    <t>Reformular o código do banco de dados seguindo a nova modelagem de dados</t>
  </si>
  <si>
    <t>Criar manual para inserir o banco de dados na VM</t>
  </si>
  <si>
    <t>Desenvolver um manual explicativo de como inserir o banco de dados para dentro da maquina virtual</t>
  </si>
  <si>
    <t>Mudar CSS da calculadora financeira</t>
  </si>
  <si>
    <t>Mudar o código do CSS da calculadora financeira seguindo o novo protótipo do Figma</t>
  </si>
  <si>
    <t>Reformulação Figma</t>
  </si>
  <si>
    <t>Reformulação visual do protótipo do site</t>
  </si>
  <si>
    <t>Código do Node/API</t>
  </si>
  <si>
    <t>Atualizar conforme banco de dados novo</t>
  </si>
  <si>
    <t>Documentação final do projeto</t>
  </si>
  <si>
    <t>Melhorar e finalizar toda e qualquer pendencia relacionada a documentação</t>
  </si>
  <si>
    <t>SPRINT3</t>
  </si>
  <si>
    <t>PENDENTE</t>
  </si>
  <si>
    <t>Prévia da solução+apresentação</t>
  </si>
  <si>
    <t>Preparar apresentação final do projeto com todas as conexões exigidas</t>
  </si>
  <si>
    <t>Site institucional: Na nuvem conectado no BD</t>
  </si>
  <si>
    <t>Configurar a conexão do Site com o banco de dados</t>
  </si>
  <si>
    <t>Dashboard: Na nuvem conectado no BD</t>
  </si>
  <si>
    <t>Configurar a conexão da Dashboard com a API/Banco de dados</t>
  </si>
  <si>
    <t>Tela de Cadastro/Login: Na nuvem conectado no BD</t>
  </si>
  <si>
    <t>Configurar a tela de Cadastro/Login com os dados inseridos no banco de dados</t>
  </si>
  <si>
    <t>Modelagem Lógica do Projeto: Final</t>
  </si>
  <si>
    <t>Criar versão final do diagrama de banco de dados</t>
  </si>
  <si>
    <t>Tabelas em um Banco de Dados (Final)</t>
  </si>
  <si>
    <t>Modificar ou atualizar a versão final do script do banco de dados do projeto</t>
  </si>
  <si>
    <t>API conectada a Dashboard</t>
  </si>
  <si>
    <t>Configurar e conectar API do sensor com a Dashboard</t>
  </si>
  <si>
    <t>Rodar Projeto na Virtual Machine</t>
  </si>
  <si>
    <t>Configurar e fazer funcionar o projeto dentro de um ambiente virtual da VM</t>
  </si>
  <si>
    <t>PRODUCT BACKLOG - Projeto Pessoal</t>
  </si>
  <si>
    <t>Banco de dados dos usuarios</t>
  </si>
  <si>
    <t>Entregue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</si>
</sst>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u/>
      <sz val="11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D5747-1F8A-47B9-A4D7-1F1BF1CB871E}" name="Tabela1" displayName="Tabela1" ref="A2:H44" totalsRowShown="0" headerRowDxfId="13" dataDxfId="11" headerRowBorderDxfId="12" tableBorderDxfId="10">
  <autoFilter ref="A2:H44" xr:uid="{DE3D5747-1F8A-47B9-A4D7-1F1BF1CB871E}"/>
  <tableColumns count="8">
    <tableColumn id="1" xr3:uid="{E8074814-18B4-46EF-9EB1-368F004DD8B8}" name="REQUISITO" dataDxfId="9"/>
    <tableColumn id="2" xr3:uid="{D3D728D5-DEDE-4729-9D98-3ECE56F1ACDE}" name="DESCRIÇÃO" dataDxfId="8"/>
    <tableColumn id="3" xr3:uid="{4B4622B2-7DC4-4687-BB49-443973E56441}" name="CLASSIFICAÇÃO" dataDxfId="7"/>
    <tableColumn id="4" xr3:uid="{AFE83846-D6E2-44FE-9584-28DB66A762E4}" name="TAMANHO" dataDxfId="6"/>
    <tableColumn id="5" xr3:uid="{96CF0D74-9AEB-4303-8B40-A52EA902A73A}" name="TAM(#)" dataDxfId="5">
      <calculatedColumnFormula>IF(D3="P",5,IF(D3="PP",3,IF(D3="M",8,IF(D3="G",13,IF(D3="GG",21,"")))))</calculatedColumnFormula>
    </tableColumn>
    <tableColumn id="6" xr3:uid="{4EE67857-2D74-4D71-A44E-FA533256E42E}" name="PRIORIDADE" dataDxfId="4"/>
    <tableColumn id="7" xr3:uid="{4F4E8D45-38EA-45C4-B6A8-7ED8DFE3D968}" name="SPRINT" dataDxfId="3"/>
    <tableColumn id="8" xr3:uid="{77342A7C-2FAE-4B62-B4FC-3FB4E909A133}" name="ESTADO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57D8-C77B-4498-AAFD-F2BAB1EC9264}">
  <dimension ref="A1:H52"/>
  <sheetViews>
    <sheetView tabSelected="1" topLeftCell="B36" zoomScale="44" zoomScaleNormal="100" workbookViewId="0">
      <selection activeCell="H12" sqref="H12"/>
    </sheetView>
  </sheetViews>
  <sheetFormatPr defaultRowHeight="14.4" x14ac:dyDescent="0.3"/>
  <cols>
    <col min="1" max="1" width="52.44140625" customWidth="1"/>
    <col min="2" max="2" width="105" customWidth="1"/>
    <col min="3" max="3" width="39.21875" customWidth="1"/>
    <col min="4" max="4" width="64.44140625" customWidth="1"/>
    <col min="5" max="5" width="103" customWidth="1"/>
    <col min="6" max="6" width="87.44140625" customWidth="1"/>
    <col min="7" max="7" width="16.33203125" customWidth="1"/>
    <col min="8" max="8" width="16.88671875" customWidth="1"/>
  </cols>
  <sheetData>
    <row r="1" spans="1:8" ht="30" customHeight="1" x14ac:dyDescent="0.3">
      <c r="A1" s="11" t="s">
        <v>102</v>
      </c>
      <c r="B1" s="12"/>
      <c r="C1" s="12"/>
      <c r="D1" s="12"/>
      <c r="E1" s="12"/>
      <c r="F1" s="12"/>
      <c r="G1" s="12"/>
      <c r="H1" s="12"/>
    </row>
    <row r="2" spans="1:8" ht="30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4" t="s">
        <v>7</v>
      </c>
    </row>
    <row r="3" spans="1:8" ht="30" customHeight="1" x14ac:dyDescent="0.3">
      <c r="A3" s="1" t="s">
        <v>8</v>
      </c>
      <c r="B3" s="2" t="s">
        <v>9</v>
      </c>
      <c r="C3" s="1" t="s">
        <v>10</v>
      </c>
      <c r="D3" s="1" t="s">
        <v>11</v>
      </c>
      <c r="E3" s="2">
        <f t="shared" ref="E3:E44" si="0">IF(D3="P",5,IF(D3="PP",3,IF(D3="M",8,IF(D3="G",13,IF(D3="GG",21,"")))))</f>
        <v>8</v>
      </c>
      <c r="F3" s="1">
        <v>3</v>
      </c>
      <c r="G3" s="1" t="s">
        <v>12</v>
      </c>
      <c r="H3" s="6" t="s">
        <v>85</v>
      </c>
    </row>
    <row r="4" spans="1:8" ht="30" customHeight="1" x14ac:dyDescent="0.3">
      <c r="A4" s="1" t="s">
        <v>13</v>
      </c>
      <c r="B4" s="2" t="s">
        <v>14</v>
      </c>
      <c r="C4" s="1" t="s">
        <v>15</v>
      </c>
      <c r="D4" s="1" t="s">
        <v>11</v>
      </c>
      <c r="E4" s="2">
        <f t="shared" si="0"/>
        <v>8</v>
      </c>
      <c r="F4" s="1">
        <v>3</v>
      </c>
      <c r="G4" s="1" t="s">
        <v>12</v>
      </c>
      <c r="H4" s="5" t="s">
        <v>85</v>
      </c>
    </row>
    <row r="5" spans="1:8" ht="30" customHeight="1" x14ac:dyDescent="0.3">
      <c r="A5" s="1" t="s">
        <v>16</v>
      </c>
      <c r="B5" s="2" t="s">
        <v>17</v>
      </c>
      <c r="C5" s="1" t="s">
        <v>15</v>
      </c>
      <c r="D5" s="1" t="s">
        <v>11</v>
      </c>
      <c r="E5" s="2">
        <f t="shared" si="0"/>
        <v>8</v>
      </c>
      <c r="F5" s="1">
        <v>2</v>
      </c>
      <c r="G5" s="1" t="s">
        <v>12</v>
      </c>
      <c r="H5" s="5" t="s">
        <v>85</v>
      </c>
    </row>
    <row r="6" spans="1:8" ht="30" customHeight="1" x14ac:dyDescent="0.3">
      <c r="A6" s="1" t="s">
        <v>18</v>
      </c>
      <c r="B6" s="2" t="s">
        <v>19</v>
      </c>
      <c r="C6" s="1" t="s">
        <v>15</v>
      </c>
      <c r="D6" s="1" t="s">
        <v>11</v>
      </c>
      <c r="E6" s="2">
        <f t="shared" si="0"/>
        <v>8</v>
      </c>
      <c r="F6" s="1">
        <v>2</v>
      </c>
      <c r="G6" s="1" t="s">
        <v>12</v>
      </c>
      <c r="H6" s="5" t="s">
        <v>85</v>
      </c>
    </row>
    <row r="7" spans="1:8" ht="30" customHeight="1" x14ac:dyDescent="0.3">
      <c r="A7" s="1" t="s">
        <v>20</v>
      </c>
      <c r="B7" s="2" t="s">
        <v>21</v>
      </c>
      <c r="C7" s="1" t="s">
        <v>10</v>
      </c>
      <c r="D7" s="1" t="s">
        <v>11</v>
      </c>
      <c r="E7" s="2">
        <f t="shared" si="0"/>
        <v>8</v>
      </c>
      <c r="F7" s="1">
        <v>2</v>
      </c>
      <c r="G7" s="1" t="s">
        <v>12</v>
      </c>
      <c r="H7" s="5" t="s">
        <v>85</v>
      </c>
    </row>
    <row r="8" spans="1:8" ht="30" customHeight="1" x14ac:dyDescent="0.3">
      <c r="A8" s="1" t="s">
        <v>22</v>
      </c>
      <c r="B8" s="2" t="s">
        <v>23</v>
      </c>
      <c r="C8" s="1" t="s">
        <v>15</v>
      </c>
      <c r="D8" s="1" t="s">
        <v>24</v>
      </c>
      <c r="E8" s="2">
        <f t="shared" si="0"/>
        <v>5</v>
      </c>
      <c r="F8" s="1">
        <v>2</v>
      </c>
      <c r="G8" s="1" t="s">
        <v>12</v>
      </c>
      <c r="H8" s="5" t="s">
        <v>85</v>
      </c>
    </row>
    <row r="9" spans="1:8" ht="30" customHeight="1" x14ac:dyDescent="0.3">
      <c r="A9" s="1" t="s">
        <v>25</v>
      </c>
      <c r="B9" s="2" t="s">
        <v>26</v>
      </c>
      <c r="C9" s="1" t="s">
        <v>15</v>
      </c>
      <c r="D9" s="1" t="s">
        <v>24</v>
      </c>
      <c r="E9" s="2">
        <f t="shared" si="0"/>
        <v>5</v>
      </c>
      <c r="F9" s="1">
        <v>2</v>
      </c>
      <c r="G9" s="1" t="s">
        <v>12</v>
      </c>
      <c r="H9" s="5" t="s">
        <v>85</v>
      </c>
    </row>
    <row r="10" spans="1:8" ht="30" customHeight="1" x14ac:dyDescent="0.3">
      <c r="A10" s="2" t="s">
        <v>28</v>
      </c>
      <c r="B10" s="2" t="s">
        <v>29</v>
      </c>
      <c r="C10" s="1" t="s">
        <v>15</v>
      </c>
      <c r="D10" s="1" t="s">
        <v>27</v>
      </c>
      <c r="E10" s="2">
        <f t="shared" si="0"/>
        <v>13</v>
      </c>
      <c r="F10" s="1">
        <v>2</v>
      </c>
      <c r="G10" s="1" t="s">
        <v>12</v>
      </c>
      <c r="H10" s="5" t="s">
        <v>85</v>
      </c>
    </row>
    <row r="11" spans="1:8" ht="30" customHeight="1" x14ac:dyDescent="0.3">
      <c r="A11" s="1" t="s">
        <v>103</v>
      </c>
      <c r="B11" s="2" t="s">
        <v>30</v>
      </c>
      <c r="C11" s="1" t="s">
        <v>15</v>
      </c>
      <c r="D11" s="1" t="s">
        <v>11</v>
      </c>
      <c r="E11" s="2">
        <f t="shared" si="0"/>
        <v>8</v>
      </c>
      <c r="F11" s="1">
        <v>3</v>
      </c>
      <c r="G11" s="1" t="s">
        <v>12</v>
      </c>
      <c r="H11" s="5" t="s">
        <v>85</v>
      </c>
    </row>
    <row r="12" spans="1:8" ht="30" customHeight="1" x14ac:dyDescent="0.3">
      <c r="A12" s="1" t="s">
        <v>31</v>
      </c>
      <c r="B12" s="2" t="s">
        <v>32</v>
      </c>
      <c r="C12" s="1" t="s">
        <v>15</v>
      </c>
      <c r="D12" s="1" t="s">
        <v>27</v>
      </c>
      <c r="E12" s="2">
        <f t="shared" si="0"/>
        <v>13</v>
      </c>
      <c r="F12" s="1">
        <v>3</v>
      </c>
      <c r="G12" s="1" t="s">
        <v>12</v>
      </c>
      <c r="H12" s="13" t="s">
        <v>104</v>
      </c>
    </row>
    <row r="13" spans="1:8" ht="30" customHeight="1" x14ac:dyDescent="0.3">
      <c r="A13" s="1" t="s">
        <v>33</v>
      </c>
      <c r="B13" s="2" t="s">
        <v>34</v>
      </c>
      <c r="C13" s="1" t="s">
        <v>15</v>
      </c>
      <c r="D13" s="1" t="s">
        <v>11</v>
      </c>
      <c r="E13" s="2">
        <f t="shared" si="0"/>
        <v>8</v>
      </c>
      <c r="F13" s="1">
        <v>3</v>
      </c>
      <c r="G13" s="1" t="s">
        <v>12</v>
      </c>
      <c r="H13" s="5" t="s">
        <v>85</v>
      </c>
    </row>
    <row r="14" spans="1:8" ht="30" customHeight="1" x14ac:dyDescent="0.3">
      <c r="A14" s="1" t="s">
        <v>35</v>
      </c>
      <c r="B14" s="2" t="s">
        <v>36</v>
      </c>
      <c r="C14" s="1" t="s">
        <v>15</v>
      </c>
      <c r="D14" s="1" t="s">
        <v>11</v>
      </c>
      <c r="E14" s="2">
        <f t="shared" si="0"/>
        <v>8</v>
      </c>
      <c r="F14" s="1">
        <v>2</v>
      </c>
      <c r="G14" s="1" t="s">
        <v>12</v>
      </c>
      <c r="H14" s="5" t="s">
        <v>85</v>
      </c>
    </row>
    <row r="15" spans="1:8" ht="30" customHeight="1" x14ac:dyDescent="0.3">
      <c r="A15" s="9" t="s">
        <v>37</v>
      </c>
      <c r="B15" s="9" t="s">
        <v>38</v>
      </c>
      <c r="C15" s="9" t="s">
        <v>15</v>
      </c>
      <c r="D15" s="9" t="s">
        <v>39</v>
      </c>
      <c r="E15" s="10">
        <f t="shared" si="0"/>
        <v>3</v>
      </c>
      <c r="F15" s="9">
        <v>2</v>
      </c>
      <c r="G15" s="9" t="s">
        <v>40</v>
      </c>
      <c r="H15" s="5" t="s">
        <v>85</v>
      </c>
    </row>
    <row r="16" spans="1:8" ht="30" customHeight="1" x14ac:dyDescent="0.3">
      <c r="A16" s="9" t="s">
        <v>41</v>
      </c>
      <c r="B16" s="9" t="s">
        <v>42</v>
      </c>
      <c r="C16" s="9" t="s">
        <v>15</v>
      </c>
      <c r="D16" s="9" t="s">
        <v>24</v>
      </c>
      <c r="E16" s="10">
        <f t="shared" si="0"/>
        <v>5</v>
      </c>
      <c r="F16" s="9">
        <v>2</v>
      </c>
      <c r="G16" s="9" t="s">
        <v>40</v>
      </c>
      <c r="H16" s="5" t="s">
        <v>85</v>
      </c>
    </row>
    <row r="17" spans="1:8" ht="30" customHeight="1" x14ac:dyDescent="0.3">
      <c r="A17" s="9" t="s">
        <v>43</v>
      </c>
      <c r="B17" s="9" t="s">
        <v>44</v>
      </c>
      <c r="C17" s="9" t="s">
        <v>15</v>
      </c>
      <c r="D17" s="9" t="s">
        <v>27</v>
      </c>
      <c r="E17" s="10">
        <f t="shared" si="0"/>
        <v>13</v>
      </c>
      <c r="F17" s="9">
        <v>1</v>
      </c>
      <c r="G17" s="9" t="s">
        <v>40</v>
      </c>
      <c r="H17" s="5" t="s">
        <v>85</v>
      </c>
    </row>
    <row r="18" spans="1:8" ht="30" customHeight="1" x14ac:dyDescent="0.3">
      <c r="A18" s="9" t="s">
        <v>45</v>
      </c>
      <c r="B18" s="9" t="s">
        <v>46</v>
      </c>
      <c r="C18" s="9" t="s">
        <v>15</v>
      </c>
      <c r="D18" s="9" t="s">
        <v>39</v>
      </c>
      <c r="E18" s="10">
        <f t="shared" si="0"/>
        <v>3</v>
      </c>
      <c r="F18" s="9">
        <v>2</v>
      </c>
      <c r="G18" s="9" t="s">
        <v>40</v>
      </c>
      <c r="H18" s="5" t="s">
        <v>85</v>
      </c>
    </row>
    <row r="19" spans="1:8" ht="30" customHeight="1" x14ac:dyDescent="0.3">
      <c r="A19" s="9" t="s">
        <v>47</v>
      </c>
      <c r="B19" s="9" t="s">
        <v>48</v>
      </c>
      <c r="C19" s="9" t="s">
        <v>15</v>
      </c>
      <c r="D19" s="9" t="s">
        <v>24</v>
      </c>
      <c r="E19" s="10">
        <f t="shared" si="0"/>
        <v>5</v>
      </c>
      <c r="F19" s="9">
        <v>1</v>
      </c>
      <c r="G19" s="9" t="s">
        <v>40</v>
      </c>
      <c r="H19" s="5" t="s">
        <v>85</v>
      </c>
    </row>
    <row r="20" spans="1:8" ht="30" customHeight="1" x14ac:dyDescent="0.3">
      <c r="A20" s="9" t="s">
        <v>49</v>
      </c>
      <c r="B20" s="9" t="s">
        <v>50</v>
      </c>
      <c r="C20" s="9" t="s">
        <v>10</v>
      </c>
      <c r="D20" s="9" t="s">
        <v>27</v>
      </c>
      <c r="E20" s="10">
        <f t="shared" si="0"/>
        <v>13</v>
      </c>
      <c r="F20" s="9">
        <v>1</v>
      </c>
      <c r="G20" s="9" t="s">
        <v>40</v>
      </c>
      <c r="H20" s="5" t="s">
        <v>85</v>
      </c>
    </row>
    <row r="21" spans="1:8" ht="30" customHeight="1" x14ac:dyDescent="0.3">
      <c r="A21" s="9" t="s">
        <v>51</v>
      </c>
      <c r="B21" s="9" t="s">
        <v>52</v>
      </c>
      <c r="C21" s="9" t="s">
        <v>10</v>
      </c>
      <c r="D21" s="9" t="s">
        <v>27</v>
      </c>
      <c r="E21" s="10">
        <f t="shared" si="0"/>
        <v>13</v>
      </c>
      <c r="F21" s="9">
        <v>1</v>
      </c>
      <c r="G21" s="9" t="s">
        <v>40</v>
      </c>
      <c r="H21" s="5" t="s">
        <v>85</v>
      </c>
    </row>
    <row r="22" spans="1:8" ht="30" customHeight="1" x14ac:dyDescent="0.3">
      <c r="A22" s="9" t="s">
        <v>53</v>
      </c>
      <c r="B22" s="9" t="s">
        <v>54</v>
      </c>
      <c r="C22" s="9" t="s">
        <v>10</v>
      </c>
      <c r="D22" s="9" t="s">
        <v>11</v>
      </c>
      <c r="E22" s="10">
        <f t="shared" si="0"/>
        <v>8</v>
      </c>
      <c r="F22" s="9">
        <v>1</v>
      </c>
      <c r="G22" s="9" t="s">
        <v>40</v>
      </c>
      <c r="H22" s="5" t="s">
        <v>85</v>
      </c>
    </row>
    <row r="23" spans="1:8" ht="30" customHeight="1" x14ac:dyDescent="0.3">
      <c r="A23" s="9" t="s">
        <v>55</v>
      </c>
      <c r="B23" s="9" t="s">
        <v>56</v>
      </c>
      <c r="C23" s="9" t="s">
        <v>15</v>
      </c>
      <c r="D23" s="9" t="s">
        <v>11</v>
      </c>
      <c r="E23" s="10">
        <f t="shared" si="0"/>
        <v>8</v>
      </c>
      <c r="F23" s="9">
        <v>2</v>
      </c>
      <c r="G23" s="9" t="s">
        <v>40</v>
      </c>
      <c r="H23" s="5" t="s">
        <v>85</v>
      </c>
    </row>
    <row r="24" spans="1:8" ht="30" customHeight="1" x14ac:dyDescent="0.3">
      <c r="A24" s="9" t="s">
        <v>57</v>
      </c>
      <c r="B24" s="9" t="s">
        <v>58</v>
      </c>
      <c r="C24" s="9" t="s">
        <v>15</v>
      </c>
      <c r="D24" s="9" t="s">
        <v>24</v>
      </c>
      <c r="E24" s="10">
        <f t="shared" si="0"/>
        <v>5</v>
      </c>
      <c r="F24" s="9">
        <v>2</v>
      </c>
      <c r="G24" s="9" t="s">
        <v>40</v>
      </c>
      <c r="H24" s="5" t="s">
        <v>85</v>
      </c>
    </row>
    <row r="25" spans="1:8" ht="30" customHeight="1" x14ac:dyDescent="0.3">
      <c r="A25" s="9" t="s">
        <v>59</v>
      </c>
      <c r="B25" s="9" t="s">
        <v>60</v>
      </c>
      <c r="C25" s="9" t="s">
        <v>15</v>
      </c>
      <c r="D25" s="9" t="s">
        <v>11</v>
      </c>
      <c r="E25" s="10">
        <f t="shared" si="0"/>
        <v>8</v>
      </c>
      <c r="F25" s="9">
        <v>1</v>
      </c>
      <c r="G25" s="9" t="s">
        <v>40</v>
      </c>
      <c r="H25" s="5" t="s">
        <v>85</v>
      </c>
    </row>
    <row r="26" spans="1:8" ht="30" customHeight="1" x14ac:dyDescent="0.3">
      <c r="A26" s="9" t="s">
        <v>61</v>
      </c>
      <c r="B26" s="9" t="s">
        <v>62</v>
      </c>
      <c r="C26" s="9" t="s">
        <v>10</v>
      </c>
      <c r="D26" s="9" t="s">
        <v>24</v>
      </c>
      <c r="E26" s="10">
        <f t="shared" si="0"/>
        <v>5</v>
      </c>
      <c r="F26" s="9">
        <v>1</v>
      </c>
      <c r="G26" s="9" t="s">
        <v>40</v>
      </c>
      <c r="H26" s="5" t="s">
        <v>85</v>
      </c>
    </row>
    <row r="27" spans="1:8" ht="30" customHeight="1" x14ac:dyDescent="0.3">
      <c r="A27" s="9" t="s">
        <v>63</v>
      </c>
      <c r="B27" s="9" t="s">
        <v>64</v>
      </c>
      <c r="C27" s="9" t="s">
        <v>15</v>
      </c>
      <c r="D27" s="9" t="s">
        <v>11</v>
      </c>
      <c r="E27" s="10">
        <f t="shared" si="0"/>
        <v>8</v>
      </c>
      <c r="F27" s="9">
        <v>1</v>
      </c>
      <c r="G27" s="9" t="s">
        <v>40</v>
      </c>
      <c r="H27" s="5" t="s">
        <v>85</v>
      </c>
    </row>
    <row r="28" spans="1:8" ht="30" customHeight="1" x14ac:dyDescent="0.3">
      <c r="A28" s="9" t="s">
        <v>65</v>
      </c>
      <c r="B28" s="9" t="s">
        <v>66</v>
      </c>
      <c r="C28" s="9" t="s">
        <v>15</v>
      </c>
      <c r="D28" s="9" t="s">
        <v>11</v>
      </c>
      <c r="E28" s="10">
        <f t="shared" si="0"/>
        <v>8</v>
      </c>
      <c r="F28" s="9">
        <v>2</v>
      </c>
      <c r="G28" s="9" t="s">
        <v>40</v>
      </c>
      <c r="H28" s="5" t="s">
        <v>85</v>
      </c>
    </row>
    <row r="29" spans="1:8" ht="30" customHeight="1" x14ac:dyDescent="0.3">
      <c r="A29" s="9" t="s">
        <v>67</v>
      </c>
      <c r="B29" s="9" t="s">
        <v>68</v>
      </c>
      <c r="C29" s="9" t="s">
        <v>10</v>
      </c>
      <c r="D29" s="9" t="s">
        <v>11</v>
      </c>
      <c r="E29" s="10">
        <f t="shared" si="0"/>
        <v>8</v>
      </c>
      <c r="F29" s="9">
        <v>2</v>
      </c>
      <c r="G29" s="9" t="s">
        <v>40</v>
      </c>
      <c r="H29" s="5" t="s">
        <v>85</v>
      </c>
    </row>
    <row r="30" spans="1:8" ht="30" customHeight="1" x14ac:dyDescent="0.3">
      <c r="A30" s="9" t="s">
        <v>69</v>
      </c>
      <c r="B30" s="9" t="s">
        <v>70</v>
      </c>
      <c r="C30" s="9" t="s">
        <v>71</v>
      </c>
      <c r="D30" s="9" t="s">
        <v>24</v>
      </c>
      <c r="E30" s="10">
        <f t="shared" si="0"/>
        <v>5</v>
      </c>
      <c r="F30" s="9">
        <v>3</v>
      </c>
      <c r="G30" s="9" t="s">
        <v>40</v>
      </c>
      <c r="H30" s="5" t="s">
        <v>85</v>
      </c>
    </row>
    <row r="31" spans="1:8" ht="30" customHeight="1" x14ac:dyDescent="0.3">
      <c r="A31" s="9" t="s">
        <v>72</v>
      </c>
      <c r="B31" s="9" t="s">
        <v>73</v>
      </c>
      <c r="C31" s="9" t="s">
        <v>15</v>
      </c>
      <c r="D31" s="9" t="s">
        <v>27</v>
      </c>
      <c r="E31" s="10">
        <f t="shared" si="0"/>
        <v>13</v>
      </c>
      <c r="F31" s="9">
        <v>1</v>
      </c>
      <c r="G31" s="9" t="s">
        <v>40</v>
      </c>
      <c r="H31" s="5" t="s">
        <v>85</v>
      </c>
    </row>
    <row r="32" spans="1:8" ht="30" customHeight="1" x14ac:dyDescent="0.3">
      <c r="A32" s="9" t="s">
        <v>74</v>
      </c>
      <c r="B32" s="9" t="s">
        <v>75</v>
      </c>
      <c r="C32" s="9" t="s">
        <v>71</v>
      </c>
      <c r="D32" s="9" t="s">
        <v>24</v>
      </c>
      <c r="E32" s="10">
        <f t="shared" si="0"/>
        <v>5</v>
      </c>
      <c r="F32" s="9">
        <v>3</v>
      </c>
      <c r="G32" s="9" t="s">
        <v>40</v>
      </c>
      <c r="H32" s="5" t="s">
        <v>85</v>
      </c>
    </row>
    <row r="33" spans="1:8" ht="30" customHeight="1" x14ac:dyDescent="0.3">
      <c r="A33" s="9" t="s">
        <v>76</v>
      </c>
      <c r="B33" s="9" t="s">
        <v>77</v>
      </c>
      <c r="C33" s="9" t="s">
        <v>71</v>
      </c>
      <c r="D33" s="9" t="s">
        <v>11</v>
      </c>
      <c r="E33" s="10">
        <f t="shared" si="0"/>
        <v>8</v>
      </c>
      <c r="F33" s="9">
        <v>3</v>
      </c>
      <c r="G33" s="9" t="s">
        <v>40</v>
      </c>
      <c r="H33" s="5" t="s">
        <v>85</v>
      </c>
    </row>
    <row r="34" spans="1:8" ht="30" customHeight="1" x14ac:dyDescent="0.3">
      <c r="A34" s="9" t="s">
        <v>78</v>
      </c>
      <c r="B34" s="9" t="s">
        <v>79</v>
      </c>
      <c r="C34" s="9" t="s">
        <v>10</v>
      </c>
      <c r="D34" s="9" t="s">
        <v>11</v>
      </c>
      <c r="E34" s="10">
        <f t="shared" si="0"/>
        <v>8</v>
      </c>
      <c r="F34" s="9">
        <v>2</v>
      </c>
      <c r="G34" s="9" t="s">
        <v>40</v>
      </c>
      <c r="H34" s="5" t="s">
        <v>85</v>
      </c>
    </row>
    <row r="35" spans="1:8" ht="30" customHeight="1" x14ac:dyDescent="0.3">
      <c r="A35" s="9" t="s">
        <v>80</v>
      </c>
      <c r="B35" s="9" t="s">
        <v>81</v>
      </c>
      <c r="C35" s="9" t="s">
        <v>15</v>
      </c>
      <c r="D35" s="9" t="s">
        <v>11</v>
      </c>
      <c r="E35" s="10">
        <f t="shared" si="0"/>
        <v>8</v>
      </c>
      <c r="F35" s="9">
        <v>2</v>
      </c>
      <c r="G35" s="9" t="s">
        <v>40</v>
      </c>
      <c r="H35" s="5" t="s">
        <v>85</v>
      </c>
    </row>
    <row r="36" spans="1:8" ht="30" customHeight="1" x14ac:dyDescent="0.3">
      <c r="A36" s="1" t="s">
        <v>82</v>
      </c>
      <c r="B36" s="1" t="s">
        <v>83</v>
      </c>
      <c r="C36" s="1" t="s">
        <v>15</v>
      </c>
      <c r="D36" s="1" t="s">
        <v>24</v>
      </c>
      <c r="E36" s="2">
        <f t="shared" si="0"/>
        <v>5</v>
      </c>
      <c r="F36" s="1">
        <v>1</v>
      </c>
      <c r="G36" s="1" t="s">
        <v>84</v>
      </c>
      <c r="H36" s="8" t="s">
        <v>85</v>
      </c>
    </row>
    <row r="37" spans="1:8" ht="30" customHeight="1" x14ac:dyDescent="0.3">
      <c r="A37" s="1" t="s">
        <v>86</v>
      </c>
      <c r="B37" s="1" t="s">
        <v>87</v>
      </c>
      <c r="C37" s="1" t="s">
        <v>10</v>
      </c>
      <c r="D37" s="1" t="s">
        <v>11</v>
      </c>
      <c r="E37" s="2">
        <f t="shared" si="0"/>
        <v>8</v>
      </c>
      <c r="F37" s="1">
        <v>1</v>
      </c>
      <c r="G37" s="1" t="s">
        <v>84</v>
      </c>
      <c r="H37" s="5" t="s">
        <v>85</v>
      </c>
    </row>
    <row r="38" spans="1:8" ht="30" customHeight="1" x14ac:dyDescent="0.3">
      <c r="A38" s="1" t="s">
        <v>88</v>
      </c>
      <c r="B38" s="1" t="s">
        <v>89</v>
      </c>
      <c r="C38" s="1" t="s">
        <v>10</v>
      </c>
      <c r="D38" s="1" t="s">
        <v>27</v>
      </c>
      <c r="E38" s="2">
        <f t="shared" si="0"/>
        <v>13</v>
      </c>
      <c r="F38" s="1">
        <v>1</v>
      </c>
      <c r="G38" s="1" t="s">
        <v>84</v>
      </c>
      <c r="H38" s="5" t="s">
        <v>85</v>
      </c>
    </row>
    <row r="39" spans="1:8" ht="30" customHeight="1" x14ac:dyDescent="0.3">
      <c r="A39" s="1" t="s">
        <v>90</v>
      </c>
      <c r="B39" s="1" t="s">
        <v>91</v>
      </c>
      <c r="C39" s="1" t="s">
        <v>10</v>
      </c>
      <c r="D39" s="1" t="s">
        <v>27</v>
      </c>
      <c r="E39" s="2">
        <f t="shared" si="0"/>
        <v>13</v>
      </c>
      <c r="F39" s="1">
        <v>1</v>
      </c>
      <c r="G39" s="1" t="s">
        <v>84</v>
      </c>
      <c r="H39" s="5" t="s">
        <v>85</v>
      </c>
    </row>
    <row r="40" spans="1:8" ht="30" customHeight="1" x14ac:dyDescent="0.3">
      <c r="A40" s="1" t="s">
        <v>92</v>
      </c>
      <c r="B40" s="1" t="s">
        <v>93</v>
      </c>
      <c r="C40" s="1" t="s">
        <v>10</v>
      </c>
      <c r="D40" s="1" t="s">
        <v>27</v>
      </c>
      <c r="E40" s="2">
        <f t="shared" si="0"/>
        <v>13</v>
      </c>
      <c r="F40" s="1">
        <v>1</v>
      </c>
      <c r="G40" s="1" t="s">
        <v>84</v>
      </c>
      <c r="H40" s="5" t="s">
        <v>85</v>
      </c>
    </row>
    <row r="41" spans="1:8" ht="30" customHeight="1" x14ac:dyDescent="0.3">
      <c r="A41" s="1" t="s">
        <v>94</v>
      </c>
      <c r="B41" s="1" t="s">
        <v>95</v>
      </c>
      <c r="C41" s="1" t="s">
        <v>15</v>
      </c>
      <c r="D41" s="1" t="s">
        <v>24</v>
      </c>
      <c r="E41" s="2">
        <f t="shared" si="0"/>
        <v>5</v>
      </c>
      <c r="F41" s="1">
        <v>2</v>
      </c>
      <c r="G41" s="1" t="s">
        <v>84</v>
      </c>
      <c r="H41" s="5" t="s">
        <v>85</v>
      </c>
    </row>
    <row r="42" spans="1:8" ht="30" customHeight="1" x14ac:dyDescent="0.3">
      <c r="A42" s="1" t="s">
        <v>96</v>
      </c>
      <c r="B42" s="1" t="s">
        <v>97</v>
      </c>
      <c r="C42" s="1" t="s">
        <v>15</v>
      </c>
      <c r="D42" s="1" t="s">
        <v>39</v>
      </c>
      <c r="E42" s="2">
        <f t="shared" si="0"/>
        <v>3</v>
      </c>
      <c r="F42" s="1">
        <v>2</v>
      </c>
      <c r="G42" s="1" t="s">
        <v>84</v>
      </c>
      <c r="H42" s="5" t="s">
        <v>85</v>
      </c>
    </row>
    <row r="43" spans="1:8" ht="30" customHeight="1" x14ac:dyDescent="0.3">
      <c r="A43" s="1" t="s">
        <v>98</v>
      </c>
      <c r="B43" s="1" t="s">
        <v>99</v>
      </c>
      <c r="C43" s="1" t="s">
        <v>10</v>
      </c>
      <c r="D43" s="1" t="s">
        <v>27</v>
      </c>
      <c r="E43" s="2">
        <f t="shared" si="0"/>
        <v>13</v>
      </c>
      <c r="F43" s="1">
        <v>1</v>
      </c>
      <c r="G43" s="1" t="s">
        <v>84</v>
      </c>
      <c r="H43" s="5" t="s">
        <v>85</v>
      </c>
    </row>
    <row r="44" spans="1:8" ht="30" customHeight="1" x14ac:dyDescent="0.3">
      <c r="A44" s="1" t="s">
        <v>100</v>
      </c>
      <c r="B44" s="1" t="s">
        <v>101</v>
      </c>
      <c r="C44" s="1" t="s">
        <v>10</v>
      </c>
      <c r="D44" s="1" t="s">
        <v>11</v>
      </c>
      <c r="E44" s="2">
        <f t="shared" si="0"/>
        <v>8</v>
      </c>
      <c r="F44" s="1">
        <v>1</v>
      </c>
      <c r="G44" s="1" t="s">
        <v>84</v>
      </c>
      <c r="H44" s="7" t="s">
        <v>85</v>
      </c>
    </row>
    <row r="45" spans="1:8" ht="30" customHeight="1" x14ac:dyDescent="0.3"/>
    <row r="46" spans="1:8" ht="30" customHeight="1" x14ac:dyDescent="0.3"/>
    <row r="47" spans="1:8" ht="30" customHeight="1" x14ac:dyDescent="0.3"/>
    <row r="48" spans="1:8" ht="30" customHeight="1" x14ac:dyDescent="0.3"/>
    <row r="49" ht="30" customHeight="1" x14ac:dyDescent="0.3"/>
    <row r="50" ht="30" customHeight="1" x14ac:dyDescent="0.3"/>
    <row r="51" ht="30" customHeight="1" x14ac:dyDescent="0.3"/>
    <row r="52" ht="30" customHeight="1" x14ac:dyDescent="0.3"/>
  </sheetData>
  <mergeCells count="1">
    <mergeCell ref="A1:H1"/>
  </mergeCells>
  <conditionalFormatting sqref="H3:H44">
    <cfRule type="cellIs" dxfId="1" priority="1" operator="equal">
      <formula>"FINALIZADO"</formula>
    </cfRule>
    <cfRule type="cellIs" dxfId="0" priority="2" operator="equal">
      <formula>"PENDENTE"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marcoslp1234@gmail.com</dc:creator>
  <cp:lastModifiedBy>marcoslp1234@gmail.com</cp:lastModifiedBy>
  <dcterms:created xsi:type="dcterms:W3CDTF">2025-11-05T15:59:50Z</dcterms:created>
  <dcterms:modified xsi:type="dcterms:W3CDTF">2025-11-08T23:37:45Z</dcterms:modified>
</cp:coreProperties>
</file>